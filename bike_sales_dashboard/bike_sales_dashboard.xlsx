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aa67fed7fefb2e65/Data Analytics course/Excel/"/>
    </mc:Choice>
  </mc:AlternateContent>
  <xr:revisionPtr revIDLastSave="11" documentId="8_{ABC04089-7769-4E43-9915-B025B1F01043}" xr6:coauthVersionLast="47" xr6:coauthVersionMax="47" xr10:uidLastSave="{764DE5DC-5709-49E9-896A-2DC3E167BD55}"/>
  <bookViews>
    <workbookView xWindow="-108" yWindow="-108" windowWidth="23256" windowHeight="12456" activeTab="2" xr2:uid="{00000000-000D-0000-FFFF-FFFF00000000}"/>
  </bookViews>
  <sheets>
    <sheet name="bike_buyers" sheetId="1" r:id="rId1"/>
    <sheet name="Pivot Table" sheetId="3" r:id="rId2"/>
    <sheet name="Dashboard" sheetId="2" r:id="rId3"/>
    <sheet name="Working Sheet" sheetId="4" r:id="rId4"/>
  </sheets>
  <definedNames>
    <definedName name="_xlnm._FilterDatabase" localSheetId="0" hidden="1">bike_buyers!$A$1:$M$1001</definedName>
    <definedName name="_xlnm._FilterDatabase" localSheetId="3" hidden="1">'Working Sheet'!$A$1:$N$1001</definedName>
    <definedName name="Slicer_Age2">#N/A</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<sst xmlns="http://schemas.openxmlformats.org/spreadsheetml/2006/main" count="16267" uniqueCount="51">
  <si>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</si>
  <si>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</si>
  <si>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</si>
  <si>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</si>
  <si>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</si>
  <si>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</si>
  <si>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</si>
  <si>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</si>
  <si>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</si>
  <si>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</si>
  <si>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</si>
  <si>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</si>
  <si>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</si>
  <si>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</si>
  <si>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</si>
  <si>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</si>
  <si>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</si>
  <si>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</si>
  <si>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</si>
  <si>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</si>
  <si>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</si>
  <si>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</si>
  <si>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</si>
  <si>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</si>
  <si>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</si>
  <si>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</si>
  <si>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</si>
  <si>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</si>
  <si>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</si>
  <si>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</si>
  <si>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</si>
  <si>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</si>
  <si>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</si>
  <si>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</si>
  <si>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</si>
  <si>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</si>
  <si>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</si>
  <si>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</si>
  <si>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</si>
  <si>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</si>
  <si>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Row Labels</t>
  </si>
  <si>
    <t>Grand Total</t>
  </si>
  <si>
    <t>Column Labels</t>
  </si>
  <si>
    <t>Count of Purchased Bike</t>
  </si>
  <si>
    <t>Average of Income</t>
  </si>
  <si>
    <t>More than 10 Miles</t>
  </si>
  <si>
    <t>Adolescent</t>
  </si>
  <si>
    <t>Middle Age</t>
  </si>
  <si>
    <t>Old</t>
  </si>
  <si>
    <t>Bike Sales Dashboard</t>
  </si>
  <si>
    <t xml:space="preserve">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</si>
</sst>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5"/>
      <color theme="3" tint="-0.49998474074526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A9BC-4FB7-906E-7EBE91146407}"/>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A9BC-4FB7-906E-7EBE91146407}"/>
            </c:ext>
          </c:extLst>
        </c:ser>
        <c:dLbls>
          <c:showLegendKey val="0"/>
          <c:showVal val="0"/>
          <c:showCatName val="0"/>
          <c:showSerName val="0"/>
          <c:showPercent val="0"/>
          <c:showBubbleSize val="0"/>
        </c:dLbls>
        <c:gapWidth val="219"/>
        <c:overlap val="-27"/>
        <c:axId val="1946346559"/>
        <c:axId val="1946344639"/>
      </c:barChart>
      <c:catAx>
        <c:axId val="1946346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344639"/>
        <c:crosses val="autoZero"/>
        <c:auto val="1"/>
        <c:lblAlgn val="ctr"/>
        <c:lblOffset val="100"/>
        <c:noMultiLvlLbl val="0"/>
      </c:catAx>
      <c:valAx>
        <c:axId val="1946344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34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per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CBE-4659-98AF-2246D0C01E2B}"/>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CBE-4659-98AF-2246D0C01E2B}"/>
            </c:ext>
          </c:extLst>
        </c:ser>
        <c:dLbls>
          <c:showLegendKey val="0"/>
          <c:showVal val="0"/>
          <c:showCatName val="0"/>
          <c:showSerName val="0"/>
          <c:showPercent val="0"/>
          <c:showBubbleSize val="0"/>
        </c:dLbls>
        <c:smooth val="0"/>
        <c:axId val="2095720415"/>
        <c:axId val="2095715135"/>
      </c:lineChart>
      <c:catAx>
        <c:axId val="209572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15135"/>
        <c:crosses val="autoZero"/>
        <c:auto val="1"/>
        <c:lblAlgn val="ctr"/>
        <c:lblOffset val="100"/>
        <c:noMultiLvlLbl val="0"/>
      </c:catAx>
      <c:valAx>
        <c:axId val="2095715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2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E32-4181-B864-F8AD92E927FC}"/>
            </c:ext>
          </c:extLst>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E32-4181-B864-F8AD92E927FC}"/>
            </c:ext>
          </c:extLst>
        </c:ser>
        <c:dLbls>
          <c:showLegendKey val="0"/>
          <c:showVal val="0"/>
          <c:showCatName val="0"/>
          <c:showSerName val="0"/>
          <c:showPercent val="0"/>
          <c:showBubbleSize val="0"/>
        </c:dLbls>
        <c:smooth val="0"/>
        <c:axId val="2095743455"/>
        <c:axId val="2095743935"/>
      </c:lineChart>
      <c:catAx>
        <c:axId val="209574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43935"/>
        <c:crosses val="autoZero"/>
        <c:auto val="1"/>
        <c:lblAlgn val="ctr"/>
        <c:lblOffset val="100"/>
        <c:noMultiLvlLbl val="0"/>
      </c:catAx>
      <c:valAx>
        <c:axId val="209574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4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DD35-4518-AC91-C53971825AA7}"/>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DD35-4518-AC91-C53971825AA7}"/>
            </c:ext>
          </c:extLst>
        </c:ser>
        <c:dLbls>
          <c:showLegendKey val="0"/>
          <c:showVal val="0"/>
          <c:showCatName val="0"/>
          <c:showSerName val="0"/>
          <c:showPercent val="0"/>
          <c:showBubbleSize val="0"/>
        </c:dLbls>
        <c:gapWidth val="219"/>
        <c:overlap val="-27"/>
        <c:axId val="1946346559"/>
        <c:axId val="1946344639"/>
      </c:barChart>
      <c:catAx>
        <c:axId val="1946346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344639"/>
        <c:crosses val="autoZero"/>
        <c:auto val="1"/>
        <c:lblAlgn val="ctr"/>
        <c:lblOffset val="100"/>
        <c:noMultiLvlLbl val="0"/>
      </c:catAx>
      <c:valAx>
        <c:axId val="1946344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3465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per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5F4-490A-B5C5-24D6C510C6DA}"/>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5F4-490A-B5C5-24D6C510C6DA}"/>
            </c:ext>
          </c:extLst>
        </c:ser>
        <c:dLbls>
          <c:showLegendKey val="0"/>
          <c:showVal val="0"/>
          <c:showCatName val="0"/>
          <c:showSerName val="0"/>
          <c:showPercent val="0"/>
          <c:showBubbleSize val="0"/>
        </c:dLbls>
        <c:smooth val="0"/>
        <c:axId val="2095720415"/>
        <c:axId val="2095715135"/>
      </c:lineChart>
      <c:catAx>
        <c:axId val="209572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15135"/>
        <c:crosses val="autoZero"/>
        <c:auto val="1"/>
        <c:lblAlgn val="ctr"/>
        <c:lblOffset val="100"/>
        <c:noMultiLvlLbl val="0"/>
      </c:catAx>
      <c:valAx>
        <c:axId val="2095715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2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81B-4061-8B66-9876A8914A1B}"/>
            </c:ext>
          </c:extLst>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81B-4061-8B66-9876A8914A1B}"/>
            </c:ext>
          </c:extLst>
        </c:ser>
        <c:dLbls>
          <c:showLegendKey val="0"/>
          <c:showVal val="0"/>
          <c:showCatName val="0"/>
          <c:showSerName val="0"/>
          <c:showPercent val="0"/>
          <c:showBubbleSize val="0"/>
        </c:dLbls>
        <c:smooth val="0"/>
        <c:axId val="2095743455"/>
        <c:axId val="2095743935"/>
      </c:lineChart>
      <c:catAx>
        <c:axId val="209574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43935"/>
        <c:crosses val="autoZero"/>
        <c:auto val="1"/>
        <c:lblAlgn val="ctr"/>
        <c:lblOffset val="100"/>
        <c:noMultiLvlLbl val="0"/>
      </c:catAx>
      <c:valAx>
        <c:axId val="209574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4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68580</xdr:colOff>
      <xdr:row>0</xdr:row>
      <xdr:rowOff>34290</xdr:rowOff>
    </xdr:from>
    <xdr:to>
      <xdr:col>12</xdr:col>
      <xdr:colOff>350520</xdr:colOff>
      <xdr:row>15</xdr:row>
      <xdr:rowOff>34290</xdr:rowOff>
    </xdr:to>
    <xdr:graphicFrame macro="">
      <xdr:nvGraphicFramePr>
        <xdr:cNvPr id="2" name="Chart 1">
          <a:extLst>
            <a:ext uri="{FF2B5EF4-FFF2-40B4-BE49-F238E27FC236}">
              <a16:creationId xmlns:a16="http://schemas.microsoft.com/office/drawing/2014/main" id="{397851D5-B59F-7E01-D337-B960A823B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xdr:colOff>
      <xdr:row>18</xdr:row>
      <xdr:rowOff>125730</xdr:rowOff>
    </xdr:from>
    <xdr:to>
      <xdr:col>12</xdr:col>
      <xdr:colOff>350520</xdr:colOff>
      <xdr:row>33</xdr:row>
      <xdr:rowOff>125730</xdr:rowOff>
    </xdr:to>
    <xdr:graphicFrame macro="">
      <xdr:nvGraphicFramePr>
        <xdr:cNvPr id="3" name="Chart 2">
          <a:extLst>
            <a:ext uri="{FF2B5EF4-FFF2-40B4-BE49-F238E27FC236}">
              <a16:creationId xmlns:a16="http://schemas.microsoft.com/office/drawing/2014/main" id="{293958A5-7D66-FCC5-89AD-CFEF84E55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297180</xdr:colOff>
      <xdr:row>39</xdr:row>
      <xdr:rowOff>0</xdr:rowOff>
    </xdr:from>
    <xdr:to>
      <xdr:col>12</xdr:col>
      <xdr:colOff>601980</xdr:colOff>
      <xdr:row>52</xdr:row>
      <xdr:rowOff>156210</xdr:rowOff>
    </xdr:to>
    <xdr:graphicFrame macro="">
      <xdr:nvGraphicFramePr>
        <xdr:cNvPr id="5" name="Chart 4">
          <a:extLst>
            <a:ext uri="{FF2B5EF4-FFF2-40B4-BE49-F238E27FC236}">
              <a16:creationId xmlns:a16="http://schemas.microsoft.com/office/drawing/2014/main" id="{8F9B89FB-BB2E-8985-5E18-AF10194FB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9769</xdr:rowOff>
    </xdr:from>
    <xdr:to>
      <xdr:col>7</xdr:col>
      <xdr:colOff>205506</xdr:colOff>
      <xdr:row>18</xdr:row>
      <xdr:rowOff>136099</xdr:rowOff>
    </xdr:to>
    <xdr:graphicFrame macro="">
      <xdr:nvGraphicFramePr>
        <xdr:cNvPr id="2" name="Chart 1">
          <a:extLst>
            <a:ext uri="{FF2B5EF4-FFF2-40B4-BE49-F238E27FC236}">
              <a16:creationId xmlns:a16="http://schemas.microsoft.com/office/drawing/2014/main" id="{71115561-A427-4771-BB32-1F4A7DF1D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167640</xdr:rowOff>
    </xdr:from>
    <xdr:to>
      <xdr:col>15</xdr:col>
      <xdr:colOff>16387</xdr:colOff>
      <xdr:row>34</xdr:row>
      <xdr:rowOff>101175</xdr:rowOff>
    </xdr:to>
    <xdr:graphicFrame macro="">
      <xdr:nvGraphicFramePr>
        <xdr:cNvPr id="3" name="Chart 2">
          <a:extLst>
            <a:ext uri="{FF2B5EF4-FFF2-40B4-BE49-F238E27FC236}">
              <a16:creationId xmlns:a16="http://schemas.microsoft.com/office/drawing/2014/main" id="{FDDBF19D-6828-41A1-870B-7E7434911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224691</xdr:colOff>
      <xdr:row>4</xdr:row>
      <xdr:rowOff>17014</xdr:rowOff>
    </xdr:from>
    <xdr:to>
      <xdr:col>15</xdr:col>
      <xdr:colOff>8192</xdr:colOff>
      <xdr:row>18</xdr:row>
      <xdr:rowOff>141263</xdr:rowOff>
    </xdr:to>
    <xdr:graphicFrame macro="">
      <xdr:nvGraphicFramePr>
        <xdr:cNvPr id="4" name="Chart 3">
          <a:extLst>
            <a:ext uri="{FF2B5EF4-FFF2-40B4-BE49-F238E27FC236}">
              <a16:creationId xmlns:a16="http://schemas.microsoft.com/office/drawing/2014/main" id="{8E6B0378-67DD-4A2C-B1EB-17C5F4329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24255</xdr:colOff>
      <xdr:row>0</xdr:row>
      <xdr:rowOff>13253</xdr:rowOff>
    </xdr:from>
    <xdr:to>
      <xdr:col>18</xdr:col>
      <xdr:colOff>11866</xdr:colOff>
      <xdr:row>5</xdr:row>
      <xdr:rowOff>106617</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145A619B-7F8A-D295-0ACE-DD149B75B81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851732" y="13253"/>
              <a:ext cx="1816411" cy="1031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44493</xdr:colOff>
      <xdr:row>6</xdr:row>
      <xdr:rowOff>99133</xdr:rowOff>
    </xdr:from>
    <xdr:to>
      <xdr:col>18</xdr:col>
      <xdr:colOff>52171</xdr:colOff>
      <xdr:row>13</xdr:row>
      <xdr:rowOff>132172</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5F7FD7EC-D22C-1556-5BFB-643393AF8D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871970" y="1224548"/>
              <a:ext cx="1836478" cy="1346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46516</xdr:colOff>
      <xdr:row>14</xdr:row>
      <xdr:rowOff>118644</xdr:rowOff>
    </xdr:from>
    <xdr:to>
      <xdr:col>18</xdr:col>
      <xdr:colOff>54194</xdr:colOff>
      <xdr:row>22</xdr:row>
      <xdr:rowOff>117230</xdr:rowOff>
    </xdr:to>
    <mc:AlternateContent xmlns:mc="http://schemas.openxmlformats.org/markup-compatibility/2006">
      <mc:Choice xmlns:a14="http://schemas.microsoft.com/office/drawing/2010/main" Requires="a14">
        <xdr:graphicFrame macro="">
          <xdr:nvGraphicFramePr>
            <xdr:cNvPr id="7" name="Age2">
              <a:extLst>
                <a:ext uri="{FF2B5EF4-FFF2-40B4-BE49-F238E27FC236}">
                  <a16:creationId xmlns:a16="http://schemas.microsoft.com/office/drawing/2014/main" id="{F1DE61FA-0490-4F0C-AA4D-E8FCD112088A}"/>
                </a:ext>
              </a:extLst>
            </xdr:cNvPr>
            <xdr:cNvGraphicFramePr/>
          </xdr:nvGraphicFramePr>
          <xdr:xfrm>
            <a:off x="0" y="0"/>
            <a:ext cx="0" cy="0"/>
          </xdr:xfrm>
          <a:graphic>
            <a:graphicData uri="http://schemas.microsoft.com/office/drawing/2010/slicer">
              <sle:slicer xmlns:sle="http://schemas.microsoft.com/office/drawing/2010/slicer" name="Age2"/>
            </a:graphicData>
          </a:graphic>
        </xdr:graphicFrame>
      </mc:Choice>
      <mc:Fallback>
        <xdr:sp macro="" textlink="">
          <xdr:nvSpPr>
            <xdr:cNvPr id="0" name=""/>
            <xdr:cNvSpPr>
              <a:spLocks noTextEdit="1"/>
            </xdr:cNvSpPr>
          </xdr:nvSpPr>
          <xdr:spPr>
            <a:xfrm>
              <a:off x="8873993" y="2744613"/>
              <a:ext cx="1836478" cy="1499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49158</xdr:colOff>
      <xdr:row>23</xdr:row>
      <xdr:rowOff>123944</xdr:rowOff>
    </xdr:from>
    <xdr:to>
      <xdr:col>18</xdr:col>
      <xdr:colOff>56836</xdr:colOff>
      <xdr:row>34</xdr:row>
      <xdr:rowOff>97886</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40DC095E-2A32-01F1-6303-0F9FCF1B95A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876635" y="4438036"/>
              <a:ext cx="1836478" cy="20372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4.849981597225" createdVersion="8" refreshedVersion="8" minRefreshableVersion="3" recordCount="1000" xr:uid="{92935C3B-6157-4787-8DFD-BD4F4BE7628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2"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423479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CD505B-0A6A-4467-B2AD-306BF21FD0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9" format="6" series="1">
      <pivotArea type="data" outline="0" fieldPosition="0">
        <references count="2">
          <reference field="4294967294" count="1" selected="0">
            <x v="0"/>
          </reference>
          <reference field="13" count="1" selected="0">
            <x v="0"/>
          </reference>
        </references>
      </pivotArea>
    </chartFormat>
    <chartFormat chart="9"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6D4916-5818-401A-A4B0-034788A13A4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BA2C00-673E-410B-88B1-F6501A47061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D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8">
        <item x="0"/>
        <item m="1" x="5"/>
        <item m="1" x="6"/>
        <item x="3"/>
        <item x="1"/>
        <item x="2"/>
        <item x="4"/>
        <item t="default"/>
      </items>
    </pivotField>
    <pivotField showAll="0">
      <items count="4">
        <item x="0"/>
        <item x="2"/>
        <item x="1"/>
        <item t="default"/>
      </items>
    </pivotField>
    <pivotField showAll="0"/>
    <pivotField showAll="0">
      <items count="4">
        <item x="2"/>
        <item x="0"/>
        <item x="1"/>
        <item t="default"/>
      </items>
    </pivotField>
    <pivotField axis="axisCol" dataField="1" showAll="0" countASubtotal="1">
      <items count="3">
        <item x="0"/>
        <item x="1"/>
        <item t="countA"/>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F5368EB-2CD7-410E-9C2F-D13191C0C7BD}" sourceName="Marital Status">
  <pivotTables>
    <pivotTable tabId="3" name="PivotTable1"/>
    <pivotTable tabId="3" name="PivotTable2"/>
    <pivotTable tabId="3" name="PivotTable3"/>
  </pivotTables>
  <data>
    <tabular pivotCacheId="154234792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925E59-7459-4C05-8D2B-0FCCFE7FAB13}" sourceName="Region">
  <pivotTables>
    <pivotTable tabId="3" name="PivotTable3"/>
    <pivotTable tabId="3" name="PivotTable1"/>
    <pivotTable tabId="3" name="PivotTable2"/>
  </pivotTables>
  <data>
    <tabular pivotCacheId="154234792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2" xr10:uid="{CFEC0B42-E905-4517-B350-33BE6C6EE681}" sourceName="Age2">
  <pivotTables>
    <pivotTable tabId="3" name="PivotTable2"/>
    <pivotTable tabId="3" name="PivotTable1"/>
    <pivotTable tabId="3" name="PivotTable3"/>
  </pivotTables>
  <data>
    <tabular pivotCacheId="1542347920">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65C0C0B-9A00-4ECE-9857-1A0B83916B6F}" sourceName="Education">
  <pivotTables>
    <pivotTable tabId="3" name="PivotTable3"/>
    <pivotTable tabId="3" name="PivotTable1"/>
    <pivotTable tabId="3" name="PivotTable2"/>
  </pivotTables>
  <data>
    <tabular pivotCacheId="1542347920">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A8E0056-C2EC-4244-AEBB-2A4978C76D16}" cache="Slicer_Marital_Status" caption="Marital Status" rowHeight="234950"/>
  <slicer name="Region" xr10:uid="{04020C27-9E68-4A0D-9604-744FC359733F}" cache="Slicer_Region" caption="Region" rowHeight="234950"/>
  <slicer name="Age2" xr10:uid="{98408652-F241-4856-A398-24E7E454ADA7}" cache="Slicer_Age2" caption="Age2" rowHeight="234950"/>
  <slicer name="Education" xr10:uid="{2F0A47D1-3CAE-454A-B6AC-8F0F2CA48887}" cache="Slicer_Education" caption="Educ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E1" workbookViewId="0">
      <selection activeCell="H28" sqref="H28:H30"/>
    </sheetView>
  </sheetViews>
  <sheetFormatPr defaultColWidth="11.88671875" defaultRowHeight="14.4" x14ac:dyDescent="0.3"/>
  <cols>
    <col min="6" max="6" width="26.5546875" customWidth="1"/>
    <col min="7" max="7" width="16.109375" customWidth="1"/>
    <col min="10" max="10" width="22.218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4D215-89E4-416C-9EA8-C00899100905}">
  <dimension ref="A1:D46"/>
  <sheetViews>
    <sheetView topLeftCell="A3" workbookViewId="0">
      <selection activeCell="C28" sqref="C28"/>
    </sheetView>
  </sheetViews>
  <sheetFormatPr defaultRowHeight="14.4" x14ac:dyDescent="0.3"/>
  <cols>
    <col min="1" max="1" width="21.88671875" bestFit="1" customWidth="1"/>
    <col min="2" max="2" width="15.5546875" bestFit="1" customWidth="1"/>
    <col min="3" max="3" width="6.44140625" customWidth="1"/>
    <col min="4" max="4" width="10.77734375" bestFit="1" customWidth="1"/>
  </cols>
  <sheetData>
    <row r="1" spans="1:4" x14ac:dyDescent="0.3">
      <c r="A1" s="4" t="s">
        <v>44</v>
      </c>
      <c r="B1" s="4" t="s">
        <v>42</v>
      </c>
    </row>
    <row r="2" spans="1:4" x14ac:dyDescent="0.3">
      <c r="A2" s="4" t="s">
        <v>40</v>
      </c>
      <c r="B2" t="s">
        <v>18</v>
      </c>
      <c r="C2" t="s">
        <v>15</v>
      </c>
      <c r="D2" t="s">
        <v>41</v>
      </c>
    </row>
    <row r="3" spans="1:4" x14ac:dyDescent="0.3">
      <c r="A3" s="5" t="s">
        <v>39</v>
      </c>
      <c r="B3" s="6">
        <v>53440</v>
      </c>
      <c r="C3" s="6">
        <v>55774.058577405856</v>
      </c>
      <c r="D3" s="6">
        <v>54580.777096114522</v>
      </c>
    </row>
    <row r="4" spans="1:4" x14ac:dyDescent="0.3">
      <c r="A4" s="5" t="s">
        <v>38</v>
      </c>
      <c r="B4" s="6">
        <v>56208.178438661707</v>
      </c>
      <c r="C4" s="6">
        <v>60123.966942148763</v>
      </c>
      <c r="D4" s="6">
        <v>58062.62230919765</v>
      </c>
    </row>
    <row r="5" spans="1:4" x14ac:dyDescent="0.3">
      <c r="A5" s="5" t="s">
        <v>41</v>
      </c>
      <c r="B5" s="6">
        <v>54874.759152215796</v>
      </c>
      <c r="C5" s="6">
        <v>57962.577962577961</v>
      </c>
      <c r="D5" s="6">
        <v>56360</v>
      </c>
    </row>
    <row r="21" spans="1:4" x14ac:dyDescent="0.3">
      <c r="A21" s="4" t="s">
        <v>43</v>
      </c>
      <c r="B21" s="4" t="s">
        <v>42</v>
      </c>
    </row>
    <row r="22" spans="1:4" x14ac:dyDescent="0.3">
      <c r="A22" s="4" t="s">
        <v>40</v>
      </c>
      <c r="B22" t="s">
        <v>18</v>
      </c>
      <c r="C22" t="s">
        <v>15</v>
      </c>
      <c r="D22" t="s">
        <v>41</v>
      </c>
    </row>
    <row r="23" spans="1:4" x14ac:dyDescent="0.3">
      <c r="A23" s="5" t="s">
        <v>16</v>
      </c>
      <c r="B23">
        <v>166</v>
      </c>
      <c r="C23">
        <v>200</v>
      </c>
      <c r="D23">
        <v>366</v>
      </c>
    </row>
    <row r="24" spans="1:4" x14ac:dyDescent="0.3">
      <c r="A24" s="5" t="s">
        <v>26</v>
      </c>
      <c r="B24">
        <v>92</v>
      </c>
      <c r="C24">
        <v>77</v>
      </c>
      <c r="D24">
        <v>169</v>
      </c>
    </row>
    <row r="25" spans="1:4" x14ac:dyDescent="0.3">
      <c r="A25" s="5" t="s">
        <v>22</v>
      </c>
      <c r="B25">
        <v>67</v>
      </c>
      <c r="C25">
        <v>95</v>
      </c>
      <c r="D25">
        <v>162</v>
      </c>
    </row>
    <row r="26" spans="1:4" x14ac:dyDescent="0.3">
      <c r="A26" s="5" t="s">
        <v>23</v>
      </c>
      <c r="B26">
        <v>116</v>
      </c>
      <c r="C26">
        <v>76</v>
      </c>
      <c r="D26">
        <v>192</v>
      </c>
    </row>
    <row r="27" spans="1:4" x14ac:dyDescent="0.3">
      <c r="A27" s="5" t="s">
        <v>45</v>
      </c>
      <c r="B27">
        <v>78</v>
      </c>
      <c r="C27">
        <v>33</v>
      </c>
      <c r="D27">
        <v>111</v>
      </c>
    </row>
    <row r="28" spans="1:4" x14ac:dyDescent="0.3">
      <c r="A28" s="5" t="s">
        <v>41</v>
      </c>
      <c r="B28">
        <v>519</v>
      </c>
      <c r="C28">
        <v>481</v>
      </c>
      <c r="D28">
        <v>1000</v>
      </c>
    </row>
    <row r="41" spans="1:4" x14ac:dyDescent="0.3">
      <c r="A41" s="4" t="s">
        <v>43</v>
      </c>
      <c r="B41" s="4" t="s">
        <v>42</v>
      </c>
    </row>
    <row r="42" spans="1:4" x14ac:dyDescent="0.3">
      <c r="A42" s="4" t="s">
        <v>40</v>
      </c>
      <c r="B42" t="s">
        <v>18</v>
      </c>
      <c r="C42" t="s">
        <v>15</v>
      </c>
      <c r="D42" t="s">
        <v>41</v>
      </c>
    </row>
    <row r="43" spans="1:4" x14ac:dyDescent="0.3">
      <c r="A43" s="5" t="s">
        <v>46</v>
      </c>
      <c r="B43">
        <v>71</v>
      </c>
      <c r="C43">
        <v>39</v>
      </c>
      <c r="D43">
        <v>110</v>
      </c>
    </row>
    <row r="44" spans="1:4" x14ac:dyDescent="0.3">
      <c r="A44" s="5" t="s">
        <v>47</v>
      </c>
      <c r="B44">
        <v>318</v>
      </c>
      <c r="C44">
        <v>383</v>
      </c>
      <c r="D44">
        <v>701</v>
      </c>
    </row>
    <row r="45" spans="1:4" x14ac:dyDescent="0.3">
      <c r="A45" s="5" t="s">
        <v>48</v>
      </c>
      <c r="B45">
        <v>130</v>
      </c>
      <c r="C45">
        <v>59</v>
      </c>
      <c r="D45">
        <v>189</v>
      </c>
    </row>
    <row r="46" spans="1:4" x14ac:dyDescent="0.3">
      <c r="A46" s="5" t="s">
        <v>41</v>
      </c>
      <c r="B46">
        <v>519</v>
      </c>
      <c r="C46">
        <v>481</v>
      </c>
      <c r="D46">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A5779-93CE-49D2-9CB1-799AC9199DE6}">
  <dimension ref="A1:O4"/>
  <sheetViews>
    <sheetView showGridLines="0" tabSelected="1" zoomScale="65" workbookViewId="0">
      <selection activeCell="V15" sqref="V15"/>
    </sheetView>
  </sheetViews>
  <sheetFormatPr defaultRowHeight="14.4" x14ac:dyDescent="0.3"/>
  <cols>
    <col min="15" max="15" width="4.33203125" customWidth="1"/>
  </cols>
  <sheetData>
    <row r="1" spans="1:15" ht="14.4" customHeight="1" x14ac:dyDescent="0.3">
      <c r="A1" s="7" t="s">
        <v>49</v>
      </c>
      <c r="B1" s="7"/>
      <c r="C1" s="7"/>
      <c r="D1" s="7"/>
      <c r="E1" s="7"/>
      <c r="F1" s="7"/>
      <c r="G1" s="7"/>
      <c r="H1" s="7"/>
      <c r="I1" s="7"/>
      <c r="J1" s="7"/>
      <c r="K1" s="7"/>
      <c r="L1" s="7"/>
      <c r="M1" s="7"/>
      <c r="N1" s="7"/>
      <c r="O1" s="7"/>
    </row>
    <row r="2" spans="1:15" ht="14.4" customHeight="1" x14ac:dyDescent="0.3">
      <c r="A2" s="7"/>
      <c r="B2" s="7"/>
      <c r="C2" s="7"/>
      <c r="D2" s="7"/>
      <c r="E2" s="7"/>
      <c r="F2" s="7"/>
      <c r="G2" s="7"/>
      <c r="H2" s="7"/>
      <c r="I2" s="7"/>
      <c r="J2" s="7"/>
      <c r="K2" s="7"/>
      <c r="L2" s="7"/>
      <c r="M2" s="7"/>
      <c r="N2" s="7"/>
      <c r="O2" s="7"/>
    </row>
    <row r="3" spans="1:15" ht="14.4" customHeight="1" x14ac:dyDescent="0.3">
      <c r="A3" s="7"/>
      <c r="B3" s="7"/>
      <c r="C3" s="7"/>
      <c r="D3" s="7"/>
      <c r="E3" s="7"/>
      <c r="F3" s="7"/>
      <c r="G3" s="7"/>
      <c r="H3" s="7"/>
      <c r="I3" s="7"/>
      <c r="J3" s="7"/>
      <c r="K3" s="7"/>
      <c r="L3" s="7"/>
      <c r="M3" s="7"/>
      <c r="N3" s="7"/>
      <c r="O3" s="7"/>
    </row>
    <row r="4" spans="1:15" ht="14.4" customHeight="1" x14ac:dyDescent="0.3">
      <c r="A4" s="7"/>
      <c r="B4" s="7"/>
      <c r="C4" s="7"/>
      <c r="D4" s="7"/>
      <c r="E4" s="7"/>
      <c r="F4" s="7"/>
      <c r="G4" s="7"/>
      <c r="H4" s="7"/>
      <c r="I4" s="7"/>
      <c r="J4" s="7"/>
      <c r="K4" s="7"/>
      <c r="L4" s="7"/>
      <c r="M4" s="7"/>
      <c r="N4" s="7"/>
      <c r="O4" s="7"/>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0349F-C6B3-4E92-9B1D-FF8F38BC8D6D}">
  <dimension ref="A1:N1001"/>
  <sheetViews>
    <sheetView workbookViewId="0">
      <selection activeCell="A5" sqref="A5"/>
    </sheetView>
  </sheetViews>
  <sheetFormatPr defaultRowHeight="14.4" x14ac:dyDescent="0.3"/>
  <cols>
    <col min="1" max="1" width="15.77734375" customWidth="1"/>
    <col min="2" max="2" width="27.44140625" customWidth="1"/>
    <col min="3" max="3" width="14.21875" customWidth="1"/>
    <col min="4" max="4" width="17.77734375" style="3" customWidth="1"/>
    <col min="5" max="5" width="12.88671875" customWidth="1"/>
    <col min="6" max="6" width="29.44140625" customWidth="1"/>
    <col min="7" max="7" width="21" customWidth="1"/>
    <col min="8" max="8" width="11.77734375" bestFit="1" customWidth="1"/>
    <col min="9" max="9" width="10.6640625" customWidth="1"/>
    <col min="10" max="10" width="16.5546875" bestFit="1" customWidth="1"/>
    <col min="11" max="11" width="12.88671875" bestFit="1" customWidth="1"/>
    <col min="12" max="13" width="11.44140625" customWidth="1"/>
    <col min="14" max="14" width="14.88671875" customWidth="1"/>
  </cols>
  <sheetData>
    <row r="1" spans="1:14" x14ac:dyDescent="0.3">
      <c r="A1" t="s">
        <v>0</v>
      </c>
      <c r="B1" t="s">
        <v>1</v>
      </c>
      <c r="C1" t="s">
        <v>2</v>
      </c>
      <c r="D1" s="3" t="s">
        <v>3</v>
      </c>
      <c r="E1" t="s">
        <v>4</v>
      </c>
      <c r="F1" t="s">
        <v>5</v>
      </c>
      <c r="G1" t="s">
        <v>6</v>
      </c>
      <c r="H1" t="s">
        <v>7</v>
      </c>
      <c r="I1" t="s">
        <v>8</v>
      </c>
      <c r="J1" t="s">
        <v>9</v>
      </c>
      <c r="K1" t="s">
        <v>10</v>
      </c>
      <c r="L1" t="s">
        <v>11</v>
      </c>
      <c r="M1" t="s">
        <v>50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 "Adolescent","Invalid")))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 "Adolescent","Invalid")))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45</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45</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45</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45</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45</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 "Adolescent","Invalid")))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45</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45</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45</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45</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 "Adolescent","Invalid")))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45</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45</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45</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45</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45</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45</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45</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45</v>
      </c>
      <c r="K195" t="s">
        <v>24</v>
      </c>
      <c r="L195">
        <v>41</v>
      </c>
      <c r="M195" t="str">
        <f t="shared" ref="M195:M258" si="3">IF(L195&gt;54,"Old",IF(L195&gt;=31,"Middle Age",IF(L195&lt;31, "Adolescent","Invalid")))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45</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45</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45</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45</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45</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45</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45</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45</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45</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45</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 "Adolescent","Invalid")))</f>
        <v>Middle Age</v>
      </c>
      <c r="N259" t="s">
        <v>15</v>
      </c>
    </row>
    <row r="260" spans="1:14" x14ac:dyDescent="0.3">
      <c r="A260">
        <v>14193</v>
      </c>
      <c r="B260" t="s">
        <v>37</v>
      </c>
      <c r="C260" t="s">
        <v>39</v>
      </c>
      <c r="D260" s="3">
        <v>100000</v>
      </c>
      <c r="E260">
        <v>3</v>
      </c>
      <c r="F260" t="s">
        <v>19</v>
      </c>
      <c r="G260" t="s">
        <v>28</v>
      </c>
      <c r="H260" t="s">
        <v>15</v>
      </c>
      <c r="I260">
        <v>4</v>
      </c>
      <c r="J260" t="s">
        <v>45</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45</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45</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45</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45</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 "Adolescent","Invalid")))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45</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45</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45</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45</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45</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45</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45</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 "Adolescent","Invalid")))</f>
        <v>Middle Age</v>
      </c>
      <c r="N387" t="s">
        <v>18</v>
      </c>
    </row>
    <row r="388" spans="1:14" x14ac:dyDescent="0.3">
      <c r="A388">
        <v>28957</v>
      </c>
      <c r="B388" t="s">
        <v>37</v>
      </c>
      <c r="C388" t="s">
        <v>39</v>
      </c>
      <c r="D388" s="3">
        <v>120000</v>
      </c>
      <c r="E388">
        <v>0</v>
      </c>
      <c r="F388" t="s">
        <v>29</v>
      </c>
      <c r="G388" t="s">
        <v>21</v>
      </c>
      <c r="H388" t="s">
        <v>15</v>
      </c>
      <c r="I388">
        <v>4</v>
      </c>
      <c r="J388" t="s">
        <v>45</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45</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45</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45</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45</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45</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45</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 "Adolescent","Invalid")))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45</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45</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45</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45</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45</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45</v>
      </c>
      <c r="K515" t="s">
        <v>32</v>
      </c>
      <c r="L515">
        <v>61</v>
      </c>
      <c r="M515" t="str">
        <f t="shared" ref="M515:M578" si="8">IF(L515&gt;54,"Old",IF(L515&gt;=31,"Middle Age",IF(L515&lt;31, "Adolescent","Invalid")))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45</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45</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45</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45</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45</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45</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45</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45</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45</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45</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45</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 "Adolescent","Invalid")))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45</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45</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45</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45</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45</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45</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45</v>
      </c>
      <c r="K643" t="s">
        <v>32</v>
      </c>
      <c r="L643">
        <v>64</v>
      </c>
      <c r="M643" t="str">
        <f t="shared" ref="M643:M706" si="10">IF(L643&gt;54,"Old",IF(L643&gt;=31,"Middle Age",IF(L643&lt;31, "Adolescent","Invalid")))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45</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45</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45</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45</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45</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45</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45</v>
      </c>
      <c r="K707" t="s">
        <v>32</v>
      </c>
      <c r="L707">
        <v>59</v>
      </c>
      <c r="M707" t="str">
        <f t="shared" ref="M707:M770" si="11">IF(L707&gt;54,"Old",IF(L707&gt;=31,"Middle Age",IF(L707&lt;31, "Adolescent","Invalid")))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45</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45</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45</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45</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45</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45</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45</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45</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 "Adolescent","Invalid")))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45</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45</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45</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45</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 "Adolescent","Invalid")))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45</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45</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45</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45</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45</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 "Adolescent","Invalid")))</f>
        <v>Adolescent</v>
      </c>
      <c r="N899" t="s">
        <v>18</v>
      </c>
    </row>
    <row r="900" spans="1:14" x14ac:dyDescent="0.3">
      <c r="A900">
        <v>18066</v>
      </c>
      <c r="B900" t="s">
        <v>37</v>
      </c>
      <c r="C900" t="s">
        <v>38</v>
      </c>
      <c r="D900" s="3">
        <v>70000</v>
      </c>
      <c r="E900">
        <v>5</v>
      </c>
      <c r="F900" t="s">
        <v>13</v>
      </c>
      <c r="G900" t="s">
        <v>28</v>
      </c>
      <c r="H900" t="s">
        <v>15</v>
      </c>
      <c r="I900">
        <v>3</v>
      </c>
      <c r="J900" t="s">
        <v>45</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45</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45</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45</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45</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45</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45</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45</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 "Adolescent","Invalid")))</f>
        <v>Old</v>
      </c>
      <c r="N963" t="s">
        <v>18</v>
      </c>
    </row>
    <row r="964" spans="1:14" x14ac:dyDescent="0.3">
      <c r="A964">
        <v>16813</v>
      </c>
      <c r="B964" t="s">
        <v>36</v>
      </c>
      <c r="C964" t="s">
        <v>38</v>
      </c>
      <c r="D964" s="3">
        <v>60000</v>
      </c>
      <c r="E964">
        <v>2</v>
      </c>
      <c r="F964" t="s">
        <v>19</v>
      </c>
      <c r="G964" t="s">
        <v>21</v>
      </c>
      <c r="H964" t="s">
        <v>15</v>
      </c>
      <c r="I964">
        <v>2</v>
      </c>
      <c r="J964" t="s">
        <v>45</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45</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45</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45</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45</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45</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45</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45</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45</v>
      </c>
      <c r="K1001" t="s">
        <v>32</v>
      </c>
      <c r="L1001">
        <v>53</v>
      </c>
      <c r="M1001" t="str">
        <f t="shared" si="15"/>
        <v>Middle Age</v>
      </c>
      <c r="N1001" t="s">
        <v>15</v>
      </c>
    </row>
  </sheetData>
  <autoFilter ref="A1:N1001" xr:uid="{5170349F-C6B3-4E92-9B1D-FF8F38BC8D6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Pivot Table</vt:lpstr>
      <vt:lpstr>Dashboard</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Mishaal Abdussalam</cp:lastModifiedBy>
  <dcterms:created xsi:type="dcterms:W3CDTF">2022-03-18T02:50:57Z</dcterms:created>
  <dcterms:modified xsi:type="dcterms:W3CDTF">2026-06-10T14:03:05Z</dcterms:modified>
</cp:coreProperties>
</file>